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steVerzel\docs\"/>
    </mc:Choice>
  </mc:AlternateContent>
  <xr:revisionPtr revIDLastSave="0" documentId="13_ncr:1_{C69A787D-02FA-47B4-AADC-DA7D80306E59}" xr6:coauthVersionLast="47" xr6:coauthVersionMax="47" xr10:uidLastSave="{00000000-0000-0000-0000-000000000000}"/>
  <bookViews>
    <workbookView xWindow="-120" yWindow="-120" windowWidth="26040" windowHeight="15840" activeTab="1" xr2:uid="{00000000-000D-0000-FFFF-FFFF00000000}"/>
  </bookViews>
  <sheets>
    <sheet name="Instruções" sheetId="1" r:id="rId1"/>
    <sheet name="Checklist" sheetId="2" r:id="rId2"/>
    <sheet name="Resumo" sheetId="3" r:id="rId3"/>
  </sheets>
  <definedNames>
    <definedName name="_xlnm._FilterDatabase" localSheetId="1" hidden="1">Checklist!$A$1:$J$26</definedName>
  </definedNames>
  <calcPr calcId="191029"/>
</workbook>
</file>

<file path=xl/calcChain.xml><?xml version="1.0" encoding="utf-8"?>
<calcChain xmlns="http://schemas.openxmlformats.org/spreadsheetml/2006/main">
  <c r="F10" i="3" l="1"/>
  <c r="E10" i="3"/>
  <c r="D10" i="3"/>
  <c r="C10" i="3"/>
  <c r="G10" i="3" s="1"/>
  <c r="F9" i="3"/>
  <c r="E9" i="3"/>
  <c r="D9" i="3"/>
  <c r="C9" i="3"/>
  <c r="G9" i="3" s="1"/>
  <c r="F8" i="3"/>
  <c r="E8" i="3"/>
  <c r="D8" i="3"/>
  <c r="C8" i="3"/>
  <c r="G8" i="3" s="1"/>
  <c r="F7" i="3"/>
  <c r="G7" i="3" s="1"/>
  <c r="E7" i="3"/>
  <c r="D7" i="3"/>
  <c r="C7" i="3"/>
  <c r="F6" i="3"/>
  <c r="E6" i="3"/>
  <c r="D6" i="3"/>
  <c r="C6" i="3"/>
  <c r="G6" i="3" s="1"/>
  <c r="F5" i="3"/>
  <c r="F11" i="3" s="1"/>
  <c r="E5" i="3"/>
  <c r="E11" i="3" s="1"/>
  <c r="D5" i="3"/>
  <c r="D11" i="3" s="1"/>
  <c r="C5" i="3"/>
  <c r="G5" i="3" s="1"/>
  <c r="G11" i="3" s="1"/>
  <c r="C11" i="3" l="1"/>
</calcChain>
</file>

<file path=xl/sharedStrings.xml><?xml version="1.0" encoding="utf-8"?>
<sst xmlns="http://schemas.openxmlformats.org/spreadsheetml/2006/main" count="276" uniqueCount="218">
  <si>
    <t>Checklist de revisão manual: teste técnico QA Júnior Verzel</t>
  </si>
  <si>
    <t>Objetivo</t>
  </si>
  <si>
    <t>Registrar que os bugs e os valores esperados foram conferidos manualmente por você no navegador e no terminal, independentemente dos roteiros automatizados.</t>
  </si>
  <si>
    <t>Onde preencher</t>
  </si>
  <si>
    <t>Aba "Checklist", somente as colunas com fundo amarelo: G (Resultado observado), H (Status), I (Evidência), J (Data) e K (Observações). As demais colunas são o roteiro e não devem ser alteradas.</t>
  </si>
  <si>
    <t>Status (coluna H)</t>
  </si>
  <si>
    <t>Escolha na lista: OK (igual ao esperado/registrado) · Divergente (diferente; descreva em K) · Não executado (explique em K).</t>
  </si>
  <si>
    <t>Evidência (coluna I)</t>
  </si>
  <si>
    <t>Nome do print ou arquivo que você salvar, por exemplo: manual/R05-pedido-9-unidades.png. Sugestão: salvar em evidencias/manual/ no repositório.</t>
  </si>
  <si>
    <t>Ambiente</t>
  </si>
  <si>
    <t>Use aba anônima para cada item de interface (o carrinho fica guardado na aba). Para os comandos curl, use o Git Bash.</t>
  </si>
  <si>
    <t>Resumo</t>
  </si>
  <si>
    <t>A aba "Resumo" conta os itens por status automaticamente.</t>
  </si>
  <si>
    <t>Divergências</t>
  </si>
  <si>
    <t>Se algum item der "Divergente", não altere os documentos antes de reproduzir duas vezes. Depois, corrija bugs.md / execucao.md conforme o observado.</t>
  </si>
  <si>
    <t>Exemplo de linha preenchida</t>
  </si>
  <si>
    <t>Resultado observado</t>
  </si>
  <si>
    <t>Frete R$ 19,90, total R$ 219,90 e aviso "Faltam R$ 0,00 para o frete grátis."</t>
  </si>
  <si>
    <t>Status</t>
  </si>
  <si>
    <t>OK</t>
  </si>
  <si>
    <t>Evidência</t>
  </si>
  <si>
    <t>manual/R01-200-sem-cupom.png</t>
  </si>
  <si>
    <t>Data</t>
  </si>
  <si>
    <t>08/10/2026</t>
  </si>
  <si>
    <t>Observações</t>
  </si>
  <si>
    <t>Reproduzido em Chrome, aba anônima.</t>
  </si>
  <si>
    <t>ID</t>
  </si>
  <si>
    <t>Categoria</t>
  </si>
  <si>
    <t>Referência</t>
  </si>
  <si>
    <t>O que validar</t>
  </si>
  <si>
    <t>Como validar (passos)</t>
  </si>
  <si>
    <t>Esperado / registrado nos documentos</t>
  </si>
  <si>
    <t>R01</t>
  </si>
  <si>
    <t>Bug</t>
  </si>
  <si>
    <t>BUG-01 / CA06</t>
  </si>
  <si>
    <t>Subtotal de exatamente R$ 200,00 sem cupom</t>
  </si>
  <si>
    <t>1. Abrir https://verzel-store.qa-test-verzel-store.workers.dev em aba anônima.
2. Adicionar 2× "Mochila Urbana 20L".
3. Abrir o carrinho.</t>
  </si>
  <si>
    <t>Documentação: frete "Grátis" e total R$ 200,00.
Registrado no bug: frete R$ 19,90, total R$ 219,90 e "Faltam R$ 0,00 para o frete grátis."</t>
  </si>
  <si>
    <t>O frete grátis não se aplica para valores de compra igual a R$200,00, apenas se aplica para compras com subtotal maior que este valor</t>
  </si>
  <si>
    <t>evidencias\manual\R01.jpg</t>
  </si>
  <si>
    <t>R02</t>
  </si>
  <si>
    <t>BUG-01 / CA08</t>
  </si>
  <si>
    <t>Subtotal de R$ 200,00 com BEMVINDO10, até a confirmação</t>
  </si>
  <si>
    <t>Continuar do R01: aplicar o cupom BEMVINDO10, clicar em "Finalizar compra" e confirmar com Maria Silva / maria@exemplo.com / 01310-100.</t>
  </si>
  <si>
    <t>Documentação: desconto R$ 20,00, frete "Grátis", total R$ 180,00.
Registrado no bug: total R$ 199,90 no carrinho e no pedido confirmado.</t>
  </si>
  <si>
    <t>O resultado esperado não se confirma, o bug do frete continua presente e a aplicação do cupom de desconto gera o total de R$199,90 como registrado nos documentos</t>
  </si>
  <si>
    <t>evidencias\manual\R02-carrinho.jpg e evidencias\manual\R02-pedido.jpg</t>
  </si>
  <si>
    <t>R03</t>
  </si>
  <si>
    <t>BUG-01 / CA07</t>
  </si>
  <si>
    <t>Limite inferior: R$ 199,80 (controle)</t>
  </si>
  <si>
    <t>Nova aba anônima: adicionar 1× "Camiseta Essencial" e 1× "Calça Jeans Slim"; abrir o carrinho.</t>
  </si>
  <si>
    <t>Frete R$ 19,90, "Faltam R$ 0,20 para o frete grátis.", total R$ 219,70 (comportamento correto).</t>
  </si>
  <si>
    <t>O comportamento de valor inferior a regra de frete grátis é correto</t>
  </si>
  <si>
    <t>evidencias\manual\R03.jpg</t>
  </si>
  <si>
    <t>R04</t>
  </si>
  <si>
    <t>BUG-02 / CA10</t>
  </si>
  <si>
    <t>API aceita 6 unidades</t>
  </si>
  <si>
    <t>No terminal (Git Bash), rodar:
curl -X POST https://verzel-store.qa-test-verzel-store.workers.dev/api/pedidos -H "Content-Type: application/json" -d '{"cliente":{"nome":"Maria Silva","email":"maria@exemplo.com","cep":"01310-100"},"itens":[{"produtoId":"P001","quantidade":6}]}'</t>
  </si>
  <si>
    <t>Documentação: 422 QUANTIDADE_MAXIMA_EXCEDIDA.
Registrado no bug: pedido criado (número VZ-…) com quantidade 6 e subtotal 359.4.</t>
  </si>
  <si>
    <t>É possível exceder a quantidade limite de um mesmo item utilizando a API de pedidos</t>
  </si>
  <si>
    <t>evidencias\manual\R04.jpg</t>
  </si>
  <si>
    <t>R05</t>
  </si>
  <si>
    <t>Interface finaliza carrinho com 9 unidades</t>
  </si>
  <si>
    <t>1. Aba anônima: adicionar 1× "Camiseta Essencial".
2. F12 → Application → Session Storage → o endereço da loja → editar "verzel-store:itens" para [{"produtoId":"P001","quantidade":9}].
3. Recarregar /carrinho.
4. Finalizar compra e confirmar com dados válidos.</t>
  </si>
  <si>
    <t>Registrado no bug: carrinho mostra "Limite de 5 unidades por produto." mas exibe 9 unidades e R$ 539,10; o pedido é confirmado com 9× Camiseta Essencial.</t>
  </si>
  <si>
    <t>É possível exceder o número limite de unidades por produto alterando o session storage da página</t>
  </si>
  <si>
    <t>evidencias\manual\R05-carrinho.jpg;
evidencias\manual\R05-application.jpg
evidencias\manual\R05-pedido.jpg</t>
  </si>
  <si>
    <t>R06</t>
  </si>
  <si>
    <t>BUG-02</t>
  </si>
  <si>
    <t>Não há teto de quantidade</t>
  </si>
  <si>
    <t>Repetir o curl do R04 trocando "quantidade":6 por "quantidade":1000000.</t>
  </si>
  <si>
    <t>Registrado no bug: pedido criado com total 59900000 (R$ 59.900.000,00).</t>
  </si>
  <si>
    <t>Não há teto de quantidade de itens na API de pedidos</t>
  </si>
  <si>
    <t>evidencias\manual\R06.jpg</t>
  </si>
  <si>
    <t>R07</t>
  </si>
  <si>
    <t>Melhoria</t>
  </si>
  <si>
    <t>BUG-03</t>
  </si>
  <si>
    <t>GET /api devolve HTML</t>
  </si>
  <si>
    <t>No terminal: curl -i https://verzel-store.qa-test-verzel-store.workers.dev/api
Depois: curl -i https://verzel-store.qa-test-verzel-store.workers.dev/api/rota-inexistente</t>
  </si>
  <si>
    <t>Registrado: /api → 200 com Content-Type text/html; /api/rota-inexistente → 404 JSON ROTA_NAO_ENCONTRADA.</t>
  </si>
  <si>
    <t>o servidor só manda para a API os caminhos que começam com /api/, com a barra. /api sem a barra não entra nessa regra e cai na regra da loja, que devolve o HTML para qualquer endereço que ela não conhece.</t>
  </si>
  <si>
    <t>evidencias\manual\R07-html.jpg 
e
evidencias\manual\R07-not-found.jpg</t>
  </si>
  <si>
    <t>R08</t>
  </si>
  <si>
    <t>Aguarda PO</t>
  </si>
  <si>
    <t>BUG-04</t>
  </si>
  <si>
    <t>Item sem quantidade</t>
  </si>
  <si>
    <t>curl -X POST https://verzel-store.qa-test-verzel-store.workers.dev/api/carrinho/calcular -H "Content-Type: application/json" -d '{"itens":[{"produtoId":"P001"}]}'</t>
  </si>
  <si>
    <t>Registrado: 422 QUANTIDADE_INVALIDA com campo itens[0].quantidade (a tabela de erros sugere ITEM_INVALIDO).</t>
  </si>
  <si>
    <t>A API recusa corretamente quando a quantidade inserida de um item é inválida</t>
  </si>
  <si>
    <t>evidencias\manual\R08.jpg</t>
  </si>
  <si>
    <t>R09</t>
  </si>
  <si>
    <t>BUG-05</t>
  </si>
  <si>
    <t>Falha no cálculo após alterar o carrinho</t>
  </si>
  <si>
    <t>1. Aba anônima: adicionar 1× "Camiseta Essencial" e abrir /carrinho (total R$ 79,80).
2. F12 → Network → recarregar → clique direito na requisição "calcular" → "Block request URL".
3. Clicar em + (quantidade 2).
4. Clicar em "Finalizar compra" e anotar o resumo.
5. Network → desbloquear a URL (aba "Network request blocking").
6. Confirmar com dados válidos.</t>
  </si>
  <si>
    <t>Registrado no bug: carrinho com quantidade 2, linha do item R$ 59,90, total R$ 79,80 e alerta de erro; checkout mostra "1x" e R$ 79,80; pedido confirmado com 2× e R$ 139,70.</t>
  </si>
  <si>
    <t>Há incosistência na operação de calcular o valor total do carrinho caso a internet do cliente ou a chamada de API falhe</t>
  </si>
  <si>
    <t>evidencias\manual\R09-pedido.jpg;
evidencias\manual\R09-resumo-pedido.jpg
e 
evidencias\manual\R09-pedido-confirmado.jpg</t>
  </si>
  <si>
    <t>R10</t>
  </si>
  <si>
    <t>BUG-06</t>
  </si>
  <si>
    <t>Cupom recusado: carrinho anuncia como aplicado e o checkout não permite remover</t>
  </si>
  <si>
    <t>1. Aba anônima nova: adicionar 1× "Camiseta Essencial".
2. F12 → Application → Session Storage → endereço da loja → criar a chave "verzel-store:cupom" com o valor "VERAO2026" (COM as aspas duplas).
3. Pressionar F5 (a loja só lê o armazenamento ao carregar a página).
4. Abrir o carrinho e tirar um print.
5. Finalizar compra, preencher dados válidos e clicar em "Confirmar pedido" duas vezes.</t>
  </si>
  <si>
    <t>Carrinho: "Cupom VERAO2026 aplicado." com desconto R$ 0,00, embora a API responda aplicado: false / "Cupom expirado.".
Checkout: "Cupom expirado." nas duas tentativas, sem mostrar o cupom nem oferecer como removê-lo.
Se o pedido for concluído sem cupom, a chave não foi lida: confira as aspas e o F5.</t>
  </si>
  <si>
    <t>Inconsistência no cupom adicionado ao carrinho</t>
  </si>
  <si>
    <t>evidencias\manual\R10-cupom.jpg
e
evidencias\manual\R10-finalizar-pedido.jpg</t>
  </si>
  <si>
    <t>R11</t>
  </si>
  <si>
    <t>Critério</t>
  </si>
  <si>
    <t>CA01</t>
  </si>
  <si>
    <t>Desconto de 10% do BEMVINDO10</t>
  </si>
  <si>
    <t>Carrinho com 1× "Camiseta Essencial"; aplicar BEMVINDO10. Conferir com calculadora: 10% de 59,90.</t>
  </si>
  <si>
    <t>Desconto R$ 5,99, frete R$ 19,90, total R$ 73,81.</t>
  </si>
  <si>
    <t>Cupom corretamente aplicado</t>
  </si>
  <si>
    <t>evidencias\manual\R11.jpg</t>
  </si>
  <si>
    <t>R12</t>
  </si>
  <si>
    <t>CA02</t>
  </si>
  <si>
    <t>Cupom sem diferenciar maiúsculas e com espaços nas pontas</t>
  </si>
  <si>
    <t>No R11, remover o cupom e aplicar "  bemvindo10  " (com espaços).</t>
  </si>
  <si>
    <t>Cupom aplicado, desconto R$ 5,99.</t>
  </si>
  <si>
    <t xml:space="preserve">Cupom devidamente aplicado </t>
  </si>
  <si>
    <t>ok</t>
  </si>
  <si>
    <t>evidencias\manual\R12.jpg</t>
  </si>
  <si>
    <t>R13</t>
  </si>
  <si>
    <t>CA03</t>
  </si>
  <si>
    <t>Cupom inexistente</t>
  </si>
  <si>
    <t>Aplicar XYZ123.</t>
  </si>
  <si>
    <t>Mensagem "Cupom inválido." e desconto R$ 0,00.</t>
  </si>
  <si>
    <t xml:space="preserve">Cupom não adicionado pois é inexistente </t>
  </si>
  <si>
    <t>evidencias\manual\R13.jpg</t>
  </si>
  <si>
    <t>R14</t>
  </si>
  <si>
    <t>CA04</t>
  </si>
  <si>
    <t>Cupom expirado</t>
  </si>
  <si>
    <t>Aplicar VERAO2026.</t>
  </si>
  <si>
    <t>Mensagem "Cupom expirado." e desconto R$ 0,00.</t>
  </si>
  <si>
    <t>Cupom devidamente informado como expirado</t>
  </si>
  <si>
    <t>evidencias\manual\R14.jpg</t>
  </si>
  <si>
    <t>R15</t>
  </si>
  <si>
    <t>CA05</t>
  </si>
  <si>
    <t>Um cupom por vez</t>
  </si>
  <si>
    <t>Aplicar BEMVINDO10; verificar que o campo de cupom some; clicar em "Remover cupom".</t>
  </si>
  <si>
    <t>Com o cupom aplicado não há campo para outro; após remover, o campo volta e o total volta a R$ 79,80.</t>
  </si>
  <si>
    <t>Apenas um cupom é aplicado por vez</t>
  </si>
  <si>
    <t>evidencias\manual\R15.jpg</t>
  </si>
  <si>
    <t>R16</t>
  </si>
  <si>
    <t>CA08</t>
  </si>
  <si>
    <t>Frete grátis usa subtotal antes do desconto</t>
  </si>
  <si>
    <t xml:space="preserve"> carrinho com 1× "Tênis Casual Urbano" + 1× "Kit 3 Pares de Meias" + BEMVINDO10. Confira na calculadora: 219,80, depois 21,98, depois 197,82;</t>
  </si>
  <si>
    <t>desconto R$ 21,98, frete "Grátis", total R$ 197,82.</t>
  </si>
  <si>
    <t>Frete grátis devidamente aplicado ao subtotal da compra antes da aplicação de cupom</t>
  </si>
  <si>
    <t>evidencias\manual\R16.jpg</t>
  </si>
  <si>
    <t>R17</t>
  </si>
  <si>
    <t>CA09</t>
  </si>
  <si>
    <t>Desconto não incide no frete</t>
  </si>
  <si>
    <t>Carrinho do R03 (R$ 199,80) + BEMVINDO10. Conferir: 199,80 − 19,98 + 19,90.</t>
  </si>
  <si>
    <t>Desconto R$ 19,98, frete R$ 19,90, total R$ 199,72.</t>
  </si>
  <si>
    <t>Desconto não incide no valor faltante para frete grátis</t>
  </si>
  <si>
    <t>evidencias\manual\R17.jpg</t>
  </si>
  <si>
    <t>R18</t>
  </si>
  <si>
    <t>CA10</t>
  </si>
  <si>
    <t>Limite de 5 unidades pelos botões</t>
  </si>
  <si>
    <t>Clicar 5× em "Adicionar ao carrinho" do "Kit 3 Pares de Meias"; no carrinho, tentar o botão +.</t>
  </si>
  <si>
    <t>Botão desabilitado com "Limite de 5 unidades atingido."; no carrinho o + fica desabilitado em 5.</t>
  </si>
  <si>
    <t>O carrinho limite corretamente as 5 unidades por produto</t>
  </si>
  <si>
    <t>evidencias\manual\R18.jpg
e
evidencias\manual\R18-carrinho.jpg</t>
  </si>
  <si>
    <t>R19</t>
  </si>
  <si>
    <t>CA11</t>
  </si>
  <si>
    <t>Valores com 2 casas (verificação parcial)</t>
  </si>
  <si>
    <t>Os valores se mantém com 2 casas decimais</t>
  </si>
  <si>
    <t>evidencias\manual\R19.jpg</t>
  </si>
  <si>
    <t>R20</t>
  </si>
  <si>
    <t>Checkout</t>
  </si>
  <si>
    <t>CT-CHK-01</t>
  </si>
  <si>
    <t>Pedido válido</t>
  </si>
  <si>
    <t>Confirmar um pedido com Maria Silva / maria@exemplo.com / 01310-100.</t>
  </si>
  <si>
    <t>Página "Pedido VZ-000000" (6 dígitos), "Obrigado, Maria.", carrinho vazio depois.</t>
  </si>
  <si>
    <t>O carrinho se encontra devidamente vzio após o pedido concluído</t>
  </si>
  <si>
    <t>evidencias\manual\R20-carrinho.jpg
e
evidencias\manual\R20-pedido.jpg</t>
  </si>
  <si>
    <t>R21</t>
  </si>
  <si>
    <t>CT-CHK-03</t>
  </si>
  <si>
    <t>Mensagens de validação</t>
  </si>
  <si>
    <t>No checkout, enviar: nome "Maria", e-mail "maria.exemplo.com", CEP "1310-100".</t>
  </si>
  <si>
    <t>"Informe nome e sobrenome.", "Informe um e-mail válido.", "Informe um CEP com 8 dígitos."</t>
  </si>
  <si>
    <t>Todos os campos do formulário são devidamente tratados na inserção de dados</t>
  </si>
  <si>
    <t>evidencias\manual\R21.jpg</t>
  </si>
  <si>
    <t>R22</t>
  </si>
  <si>
    <t>Repositório</t>
  </si>
  <si>
    <t>README</t>
  </si>
  <si>
    <t>Automação roda do zero</t>
  </si>
  <si>
    <t>Em uma pasta nova: git clone do repositório, npm install, npx playwright install chromium, npm test.</t>
  </si>
  <si>
    <t>40 passed (6 deles marcados como falha esperada, com "x" na listagem).</t>
  </si>
  <si>
    <t>40 testes passando e 6 falham como no planejado</t>
  </si>
  <si>
    <t>evidencias\manual\R22.jpg</t>
  </si>
  <si>
    <t>R23</t>
  </si>
  <si>
    <t>README / docs</t>
  </si>
  <si>
    <t>Links funcionam no GitHub</t>
  </si>
  <si>
    <t>Abrir o repositório no navegador e clicar em todos os links da tabela "Onde encontrar cada entrega" e da tabela de bugs.</t>
  </si>
  <si>
    <t>Todos abrem o arquivo ou a seção correta.</t>
  </si>
  <si>
    <t>Todos os links abrem o arquivo ou seção correta, para facilitar revisão posterior</t>
  </si>
  <si>
    <t>N/A</t>
  </si>
  <si>
    <t>R24</t>
  </si>
  <si>
    <t>evidencias.md</t>
  </si>
  <si>
    <t>Prints dos bugs mostram o que o relato diz</t>
  </si>
  <si>
    <t>Abrir os prints citados em docs/evidencias.md para cada bug e comparar com docs/bugs.md.</t>
  </si>
  <si>
    <t>Valores e mensagens dos prints iguais aos do relato.</t>
  </si>
  <si>
    <t>Os prints dos bugs condizem com os relatos</t>
  </si>
  <si>
    <t>R25</t>
  </si>
  <si>
    <t>execucao.md</t>
  </si>
  <si>
    <t>Totais do resumo</t>
  </si>
  <si>
    <t>Contar as linhas por resultado em cada seção de docs/execucao.md e comparar com a tabela de resumo.</t>
  </si>
  <si>
    <t>79 cenários: 59 ✅ · 13 ❌ · 6 ⚠️ · 1 N/A.</t>
  </si>
  <si>
    <t>O total contabilizado no resumo reflete exatamente os dados encontrados nas execuções</t>
  </si>
  <si>
    <t>Resumo do checklist</t>
  </si>
  <si>
    <t>Itens</t>
  </si>
  <si>
    <t>Divergente</t>
  </si>
  <si>
    <t>Não executado</t>
  </si>
  <si>
    <t>Pendente</t>
  </si>
  <si>
    <t>Total</t>
  </si>
  <si>
    <t>Pendente = itens sem status escolhido na aba Checklist.</t>
  </si>
  <si>
    <t>Carrinho com 3× "Kit 3 Pares de Meias" + BEMVINDO10. Conferir: 3 × 29,90 e 10% disso.</t>
  </si>
  <si>
    <t>Subtotal R$ 89,70, desconto R$ 8,97, total R$ 100,63. Lembrete: a massa de dados não gera 3ª casa decimal (A9).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</si>
</sst>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3"/>
      <name val="Arial"/>
    </font>
    <font>
      <i/>
      <sz val="9"/>
      <color rgb="FF595959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vertical="top" wrapText="1"/>
    </xf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D9D9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workbookViewId="0"/>
  </sheetViews>
  <sheetFormatPr defaultRowHeight="15" x14ac:dyDescent="0.25"/>
  <cols>
    <col min="1" max="1" width="3" customWidth="1"/>
    <col min="2" max="2" width="28" customWidth="1"/>
    <col min="3" max="3" width="95" customWidth="1"/>
  </cols>
  <sheetData>
    <row r="2" spans="2:3" ht="27.95" customHeight="1" x14ac:dyDescent="0.25">
      <c r="B2" s="17" t="s">
        <v>0</v>
      </c>
      <c r="C2" s="18"/>
    </row>
    <row r="4" spans="2:3" ht="32.1" customHeight="1" x14ac:dyDescent="0.25">
      <c r="B4" s="1" t="s">
        <v>1</v>
      </c>
      <c r="C4" s="2" t="s">
        <v>2</v>
      </c>
    </row>
    <row r="5" spans="2:3" ht="32.1" customHeight="1" x14ac:dyDescent="0.25">
      <c r="B5" s="1" t="s">
        <v>3</v>
      </c>
      <c r="C5" s="2" t="s">
        <v>4</v>
      </c>
    </row>
    <row r="6" spans="2:3" ht="32.1" customHeight="1" x14ac:dyDescent="0.25">
      <c r="B6" s="1" t="s">
        <v>5</v>
      </c>
      <c r="C6" s="2" t="s">
        <v>6</v>
      </c>
    </row>
    <row r="7" spans="2:3" ht="32.1" customHeight="1" x14ac:dyDescent="0.25">
      <c r="B7" s="1" t="s">
        <v>7</v>
      </c>
      <c r="C7" s="2" t="s">
        <v>8</v>
      </c>
    </row>
    <row r="8" spans="2:3" ht="32.1" customHeight="1" x14ac:dyDescent="0.25">
      <c r="B8" s="1" t="s">
        <v>9</v>
      </c>
      <c r="C8" s="2" t="s">
        <v>10</v>
      </c>
    </row>
    <row r="9" spans="2:3" ht="32.1" customHeight="1" x14ac:dyDescent="0.25">
      <c r="B9" s="1" t="s">
        <v>11</v>
      </c>
      <c r="C9" s="2" t="s">
        <v>12</v>
      </c>
    </row>
    <row r="10" spans="2:3" ht="32.1" customHeight="1" x14ac:dyDescent="0.25">
      <c r="B10" s="1" t="s">
        <v>13</v>
      </c>
      <c r="C10" s="2" t="s">
        <v>14</v>
      </c>
    </row>
    <row r="12" spans="2:3" x14ac:dyDescent="0.25">
      <c r="B12" s="1" t="s">
        <v>15</v>
      </c>
    </row>
    <row r="13" spans="2:3" x14ac:dyDescent="0.25">
      <c r="B13" s="3" t="s">
        <v>16</v>
      </c>
      <c r="C13" s="4" t="s">
        <v>17</v>
      </c>
    </row>
    <row r="14" spans="2:3" x14ac:dyDescent="0.25">
      <c r="B14" s="3" t="s">
        <v>18</v>
      </c>
      <c r="C14" s="4" t="s">
        <v>19</v>
      </c>
    </row>
    <row r="15" spans="2:3" x14ac:dyDescent="0.25">
      <c r="B15" s="3" t="s">
        <v>20</v>
      </c>
      <c r="C15" s="4" t="s">
        <v>21</v>
      </c>
    </row>
    <row r="16" spans="2:3" x14ac:dyDescent="0.25">
      <c r="B16" s="3" t="s">
        <v>22</v>
      </c>
      <c r="C16" s="4" t="s">
        <v>23</v>
      </c>
    </row>
    <row r="17" spans="2:3" x14ac:dyDescent="0.25">
      <c r="B17" s="3" t="s">
        <v>24</v>
      </c>
      <c r="C17" s="4" t="s">
        <v>25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tabSelected="1" zoomScaleNormal="100" workbookViewId="0">
      <pane xSplit="4" ySplit="1" topLeftCell="E14" activePane="bottomRight" state="frozen"/>
      <selection pane="topRight"/>
      <selection pane="bottomLeft"/>
      <selection pane="bottomRight" activeCell="E20" sqref="E20"/>
    </sheetView>
  </sheetViews>
  <sheetFormatPr defaultRowHeight="15" x14ac:dyDescent="0.25"/>
  <cols>
    <col min="1" max="1" width="6" customWidth="1"/>
    <col min="2" max="2" width="12" customWidth="1"/>
    <col min="3" max="3" width="15" customWidth="1"/>
    <col min="4" max="4" width="30" customWidth="1"/>
    <col min="5" max="5" width="60" customWidth="1"/>
    <col min="6" max="6" width="50" customWidth="1"/>
    <col min="7" max="7" width="40" customWidth="1"/>
    <col min="8" max="8" width="15" customWidth="1"/>
    <col min="9" max="9" width="28" customWidth="1"/>
    <col min="10" max="10" width="12" customWidth="1"/>
  </cols>
  <sheetData>
    <row r="1" spans="1:10" ht="30" customHeight="1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16</v>
      </c>
      <c r="H1" s="5" t="s">
        <v>18</v>
      </c>
      <c r="I1" s="5" t="s">
        <v>20</v>
      </c>
      <c r="J1" s="5" t="s">
        <v>22</v>
      </c>
    </row>
    <row r="2" spans="1:10" ht="75" customHeight="1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7" t="s">
        <v>38</v>
      </c>
      <c r="H2" s="7" t="s">
        <v>19</v>
      </c>
      <c r="I2" s="7" t="s">
        <v>39</v>
      </c>
      <c r="J2" s="8">
        <v>46302</v>
      </c>
    </row>
    <row r="3" spans="1:10" ht="60" customHeight="1" x14ac:dyDescent="0.25">
      <c r="A3" s="6" t="s">
        <v>40</v>
      </c>
      <c r="B3" s="6" t="s">
        <v>33</v>
      </c>
      <c r="C3" s="6" t="s">
        <v>41</v>
      </c>
      <c r="D3" s="6" t="s">
        <v>42</v>
      </c>
      <c r="E3" s="6" t="s">
        <v>43</v>
      </c>
      <c r="F3" s="6" t="s">
        <v>44</v>
      </c>
      <c r="G3" s="7" t="s">
        <v>45</v>
      </c>
      <c r="H3" s="7" t="s">
        <v>19</v>
      </c>
      <c r="I3" s="7" t="s">
        <v>46</v>
      </c>
      <c r="J3" s="8">
        <v>46302</v>
      </c>
    </row>
    <row r="4" spans="1:10" ht="30" customHeight="1" x14ac:dyDescent="0.25">
      <c r="A4" s="6" t="s">
        <v>47</v>
      </c>
      <c r="B4" s="6" t="s">
        <v>33</v>
      </c>
      <c r="C4" s="6" t="s">
        <v>48</v>
      </c>
      <c r="D4" s="6" t="s">
        <v>49</v>
      </c>
      <c r="E4" s="6" t="s">
        <v>50</v>
      </c>
      <c r="F4" s="6" t="s">
        <v>51</v>
      </c>
      <c r="G4" s="7" t="s">
        <v>52</v>
      </c>
      <c r="H4" s="7" t="s">
        <v>19</v>
      </c>
      <c r="I4" s="7" t="s">
        <v>53</v>
      </c>
      <c r="J4" s="8">
        <v>46302</v>
      </c>
    </row>
    <row r="5" spans="1:10" ht="90" customHeight="1" x14ac:dyDescent="0.25">
      <c r="A5" s="6" t="s">
        <v>54</v>
      </c>
      <c r="B5" s="6" t="s">
        <v>33</v>
      </c>
      <c r="C5" s="6" t="s">
        <v>55</v>
      </c>
      <c r="D5" s="6" t="s">
        <v>56</v>
      </c>
      <c r="E5" s="6" t="s">
        <v>57</v>
      </c>
      <c r="F5" s="6" t="s">
        <v>58</v>
      </c>
      <c r="G5" s="7" t="s">
        <v>59</v>
      </c>
      <c r="H5" s="7" t="s">
        <v>19</v>
      </c>
      <c r="I5" s="7" t="s">
        <v>60</v>
      </c>
      <c r="J5" s="8">
        <v>46302</v>
      </c>
    </row>
    <row r="6" spans="1:10" ht="120" customHeight="1" x14ac:dyDescent="0.25">
      <c r="A6" s="6" t="s">
        <v>61</v>
      </c>
      <c r="B6" s="6" t="s">
        <v>33</v>
      </c>
      <c r="C6" s="6" t="s">
        <v>55</v>
      </c>
      <c r="D6" s="6" t="s">
        <v>62</v>
      </c>
      <c r="E6" s="6" t="s">
        <v>63</v>
      </c>
      <c r="F6" s="6" t="s">
        <v>64</v>
      </c>
      <c r="G6" s="7" t="s">
        <v>65</v>
      </c>
      <c r="H6" s="7" t="s">
        <v>19</v>
      </c>
      <c r="I6" s="7" t="s">
        <v>66</v>
      </c>
      <c r="J6" s="8">
        <v>46302</v>
      </c>
    </row>
    <row r="7" spans="1:10" ht="30" customHeight="1" x14ac:dyDescent="0.25">
      <c r="A7" s="6" t="s">
        <v>67</v>
      </c>
      <c r="B7" s="6" t="s">
        <v>33</v>
      </c>
      <c r="C7" s="6" t="s">
        <v>68</v>
      </c>
      <c r="D7" s="6" t="s">
        <v>69</v>
      </c>
      <c r="E7" s="6" t="s">
        <v>70</v>
      </c>
      <c r="F7" s="6" t="s">
        <v>71</v>
      </c>
      <c r="G7" s="7" t="s">
        <v>72</v>
      </c>
      <c r="H7" s="7" t="s">
        <v>19</v>
      </c>
      <c r="I7" s="7" t="s">
        <v>73</v>
      </c>
      <c r="J7" s="8">
        <v>46302</v>
      </c>
    </row>
    <row r="8" spans="1:10" ht="79.5" customHeight="1" x14ac:dyDescent="0.25">
      <c r="A8" s="6" t="s">
        <v>74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79</v>
      </c>
      <c r="G8" s="7" t="s">
        <v>80</v>
      </c>
      <c r="H8" s="7" t="s">
        <v>19</v>
      </c>
      <c r="I8" s="7" t="s">
        <v>81</v>
      </c>
      <c r="J8" s="8">
        <v>46302</v>
      </c>
    </row>
    <row r="9" spans="1:10" ht="45" customHeight="1" x14ac:dyDescent="0.25">
      <c r="A9" s="6" t="s">
        <v>82</v>
      </c>
      <c r="B9" s="6" t="s">
        <v>83</v>
      </c>
      <c r="C9" s="6" t="s">
        <v>84</v>
      </c>
      <c r="D9" s="6" t="s">
        <v>85</v>
      </c>
      <c r="E9" s="6" t="s">
        <v>86</v>
      </c>
      <c r="F9" s="6" t="s">
        <v>87</v>
      </c>
      <c r="G9" s="7" t="s">
        <v>88</v>
      </c>
      <c r="H9" s="7" t="s">
        <v>19</v>
      </c>
      <c r="I9" s="7" t="s">
        <v>89</v>
      </c>
      <c r="J9" s="8">
        <v>46302</v>
      </c>
    </row>
    <row r="10" spans="1:10" ht="159.94999999999999" customHeight="1" x14ac:dyDescent="0.25">
      <c r="A10" s="6" t="s">
        <v>90</v>
      </c>
      <c r="B10" s="6" t="s">
        <v>33</v>
      </c>
      <c r="C10" s="6" t="s">
        <v>91</v>
      </c>
      <c r="D10" s="6" t="s">
        <v>92</v>
      </c>
      <c r="E10" s="6" t="s">
        <v>93</v>
      </c>
      <c r="F10" s="6" t="s">
        <v>94</v>
      </c>
      <c r="G10" s="7" t="s">
        <v>95</v>
      </c>
      <c r="H10" s="7" t="s">
        <v>19</v>
      </c>
      <c r="I10" s="7" t="s">
        <v>96</v>
      </c>
      <c r="J10" s="8">
        <v>46302</v>
      </c>
    </row>
    <row r="11" spans="1:10" ht="159.94999999999999" customHeight="1" x14ac:dyDescent="0.25">
      <c r="A11" s="6" t="s">
        <v>97</v>
      </c>
      <c r="B11" s="6" t="s">
        <v>75</v>
      </c>
      <c r="C11" s="6" t="s">
        <v>98</v>
      </c>
      <c r="D11" s="6" t="s">
        <v>99</v>
      </c>
      <c r="E11" s="16" t="s">
        <v>100</v>
      </c>
      <c r="F11" s="6" t="s">
        <v>101</v>
      </c>
      <c r="G11" s="7" t="s">
        <v>102</v>
      </c>
      <c r="H11" s="7" t="s">
        <v>19</v>
      </c>
      <c r="I11" s="7" t="s">
        <v>103</v>
      </c>
      <c r="J11" s="8">
        <v>46302</v>
      </c>
    </row>
    <row r="12" spans="1:10" ht="30" customHeight="1" x14ac:dyDescent="0.25">
      <c r="A12" s="6" t="s">
        <v>104</v>
      </c>
      <c r="B12" s="6" t="s">
        <v>105</v>
      </c>
      <c r="C12" s="6" t="s">
        <v>106</v>
      </c>
      <c r="D12" s="6" t="s">
        <v>107</v>
      </c>
      <c r="E12" s="6" t="s">
        <v>108</v>
      </c>
      <c r="F12" s="6" t="s">
        <v>109</v>
      </c>
      <c r="G12" s="7" t="s">
        <v>110</v>
      </c>
      <c r="H12" s="7" t="s">
        <v>19</v>
      </c>
      <c r="I12" s="7" t="s">
        <v>111</v>
      </c>
      <c r="J12" s="8">
        <v>46302</v>
      </c>
    </row>
    <row r="13" spans="1:10" ht="30" customHeight="1" x14ac:dyDescent="0.25">
      <c r="A13" s="6" t="s">
        <v>112</v>
      </c>
      <c r="B13" s="6" t="s">
        <v>105</v>
      </c>
      <c r="C13" s="6" t="s">
        <v>113</v>
      </c>
      <c r="D13" s="6" t="s">
        <v>114</v>
      </c>
      <c r="E13" s="6" t="s">
        <v>115</v>
      </c>
      <c r="F13" s="6" t="s">
        <v>116</v>
      </c>
      <c r="G13" s="7" t="s">
        <v>117</v>
      </c>
      <c r="H13" s="7" t="s">
        <v>118</v>
      </c>
      <c r="I13" s="7" t="s">
        <v>119</v>
      </c>
      <c r="J13" s="8">
        <v>46302</v>
      </c>
    </row>
    <row r="14" spans="1:10" ht="15" customHeight="1" x14ac:dyDescent="0.25">
      <c r="A14" s="6" t="s">
        <v>120</v>
      </c>
      <c r="B14" s="6" t="s">
        <v>105</v>
      </c>
      <c r="C14" s="6" t="s">
        <v>121</v>
      </c>
      <c r="D14" s="6" t="s">
        <v>122</v>
      </c>
      <c r="E14" s="6" t="s">
        <v>123</v>
      </c>
      <c r="F14" s="6" t="s">
        <v>124</v>
      </c>
      <c r="G14" s="7" t="s">
        <v>125</v>
      </c>
      <c r="H14" s="7" t="s">
        <v>118</v>
      </c>
      <c r="I14" s="7" t="s">
        <v>126</v>
      </c>
      <c r="J14" s="8">
        <v>46302</v>
      </c>
    </row>
    <row r="15" spans="1:10" ht="15" customHeight="1" x14ac:dyDescent="0.25">
      <c r="A15" s="6" t="s">
        <v>127</v>
      </c>
      <c r="B15" s="6" t="s">
        <v>105</v>
      </c>
      <c r="C15" s="6" t="s">
        <v>128</v>
      </c>
      <c r="D15" s="6" t="s">
        <v>129</v>
      </c>
      <c r="E15" s="6" t="s">
        <v>130</v>
      </c>
      <c r="F15" s="6" t="s">
        <v>131</v>
      </c>
      <c r="G15" s="7" t="s">
        <v>132</v>
      </c>
      <c r="H15" s="7" t="s">
        <v>118</v>
      </c>
      <c r="I15" s="7" t="s">
        <v>133</v>
      </c>
      <c r="J15" s="8">
        <v>46302</v>
      </c>
    </row>
    <row r="16" spans="1:10" ht="30" customHeight="1" x14ac:dyDescent="0.25">
      <c r="A16" s="6" t="s">
        <v>134</v>
      </c>
      <c r="B16" s="6" t="s">
        <v>105</v>
      </c>
      <c r="C16" s="6" t="s">
        <v>135</v>
      </c>
      <c r="D16" s="6" t="s">
        <v>136</v>
      </c>
      <c r="E16" s="6" t="s">
        <v>137</v>
      </c>
      <c r="F16" s="6" t="s">
        <v>138</v>
      </c>
      <c r="G16" s="7" t="s">
        <v>139</v>
      </c>
      <c r="H16" s="7" t="s">
        <v>118</v>
      </c>
      <c r="I16" s="7" t="s">
        <v>140</v>
      </c>
      <c r="J16" s="8">
        <v>46302</v>
      </c>
    </row>
    <row r="17" spans="1:10" ht="50.25" customHeight="1" x14ac:dyDescent="0.25">
      <c r="A17" s="6" t="s">
        <v>141</v>
      </c>
      <c r="B17" s="6" t="s">
        <v>105</v>
      </c>
      <c r="C17" s="6" t="s">
        <v>142</v>
      </c>
      <c r="D17" s="6" t="s">
        <v>143</v>
      </c>
      <c r="E17" s="6" t="s">
        <v>144</v>
      </c>
      <c r="F17" s="6" t="s">
        <v>145</v>
      </c>
      <c r="G17" s="7" t="s">
        <v>146</v>
      </c>
      <c r="H17" s="7" t="s">
        <v>118</v>
      </c>
      <c r="I17" s="7" t="s">
        <v>147</v>
      </c>
      <c r="J17" s="8">
        <v>46302</v>
      </c>
    </row>
    <row r="18" spans="1:10" ht="30" customHeight="1" x14ac:dyDescent="0.25">
      <c r="A18" s="6" t="s">
        <v>148</v>
      </c>
      <c r="B18" s="6" t="s">
        <v>105</v>
      </c>
      <c r="C18" s="6" t="s">
        <v>149</v>
      </c>
      <c r="D18" s="6" t="s">
        <v>150</v>
      </c>
      <c r="E18" s="6" t="s">
        <v>151</v>
      </c>
      <c r="F18" s="6" t="s">
        <v>152</v>
      </c>
      <c r="G18" s="7" t="s">
        <v>153</v>
      </c>
      <c r="H18" s="7" t="s">
        <v>118</v>
      </c>
      <c r="I18" s="7" t="s">
        <v>154</v>
      </c>
      <c r="J18" s="8">
        <v>46302</v>
      </c>
    </row>
    <row r="19" spans="1:10" ht="101.25" customHeight="1" x14ac:dyDescent="0.25">
      <c r="A19" s="6" t="s">
        <v>155</v>
      </c>
      <c r="B19" s="6" t="s">
        <v>105</v>
      </c>
      <c r="C19" s="6" t="s">
        <v>156</v>
      </c>
      <c r="D19" s="6" t="s">
        <v>157</v>
      </c>
      <c r="E19" s="6" t="s">
        <v>158</v>
      </c>
      <c r="F19" s="6" t="s">
        <v>159</v>
      </c>
      <c r="G19" s="7" t="s">
        <v>160</v>
      </c>
      <c r="H19" s="7" t="s">
        <v>118</v>
      </c>
      <c r="I19" s="7" t="s">
        <v>161</v>
      </c>
      <c r="J19" s="8">
        <v>46302</v>
      </c>
    </row>
    <row r="20" spans="1:10" ht="71.25" customHeight="1" x14ac:dyDescent="0.25">
      <c r="A20" s="6" t="s">
        <v>162</v>
      </c>
      <c r="B20" s="6" t="s">
        <v>105</v>
      </c>
      <c r="C20" s="6" t="s">
        <v>163</v>
      </c>
      <c r="D20" s="6" t="s">
        <v>164</v>
      </c>
      <c r="E20" s="6" t="s">
        <v>216</v>
      </c>
      <c r="F20" s="6" t="s">
        <v>217</v>
      </c>
      <c r="G20" s="7" t="s">
        <v>165</v>
      </c>
      <c r="H20" s="7" t="s">
        <v>118</v>
      </c>
      <c r="I20" s="7" t="s">
        <v>166</v>
      </c>
      <c r="J20" s="8">
        <v>46302</v>
      </c>
    </row>
    <row r="21" spans="1:10" ht="105.75" customHeight="1" x14ac:dyDescent="0.25">
      <c r="A21" s="6" t="s">
        <v>167</v>
      </c>
      <c r="B21" s="6" t="s">
        <v>168</v>
      </c>
      <c r="C21" s="6" t="s">
        <v>169</v>
      </c>
      <c r="D21" s="6" t="s">
        <v>170</v>
      </c>
      <c r="E21" s="6" t="s">
        <v>171</v>
      </c>
      <c r="F21" s="6" t="s">
        <v>172</v>
      </c>
      <c r="G21" s="7" t="s">
        <v>173</v>
      </c>
      <c r="H21" s="7" t="s">
        <v>118</v>
      </c>
      <c r="I21" s="7" t="s">
        <v>174</v>
      </c>
      <c r="J21" s="8">
        <v>46302</v>
      </c>
    </row>
    <row r="22" spans="1:10" ht="30" customHeight="1" x14ac:dyDescent="0.25">
      <c r="A22" s="6" t="s">
        <v>175</v>
      </c>
      <c r="B22" s="6" t="s">
        <v>168</v>
      </c>
      <c r="C22" s="6" t="s">
        <v>176</v>
      </c>
      <c r="D22" s="6" t="s">
        <v>177</v>
      </c>
      <c r="E22" s="6" t="s">
        <v>178</v>
      </c>
      <c r="F22" s="6" t="s">
        <v>179</v>
      </c>
      <c r="G22" s="7" t="s">
        <v>180</v>
      </c>
      <c r="H22" s="7" t="s">
        <v>118</v>
      </c>
      <c r="I22" s="7" t="s">
        <v>181</v>
      </c>
      <c r="J22" s="8">
        <v>46302</v>
      </c>
    </row>
    <row r="23" spans="1:10" ht="30" customHeight="1" x14ac:dyDescent="0.25">
      <c r="A23" s="6" t="s">
        <v>182</v>
      </c>
      <c r="B23" s="6" t="s">
        <v>183</v>
      </c>
      <c r="C23" s="6" t="s">
        <v>184</v>
      </c>
      <c r="D23" s="6" t="s">
        <v>185</v>
      </c>
      <c r="E23" s="6" t="s">
        <v>186</v>
      </c>
      <c r="F23" s="6" t="s">
        <v>187</v>
      </c>
      <c r="G23" s="7" t="s">
        <v>188</v>
      </c>
      <c r="H23" s="7" t="s">
        <v>118</v>
      </c>
      <c r="I23" s="7" t="s">
        <v>189</v>
      </c>
      <c r="J23" s="8">
        <v>46302</v>
      </c>
    </row>
    <row r="24" spans="1:10" ht="45" customHeight="1" x14ac:dyDescent="0.25">
      <c r="A24" s="6" t="s">
        <v>190</v>
      </c>
      <c r="B24" s="6" t="s">
        <v>183</v>
      </c>
      <c r="C24" s="6" t="s">
        <v>191</v>
      </c>
      <c r="D24" s="6" t="s">
        <v>192</v>
      </c>
      <c r="E24" s="6" t="s">
        <v>193</v>
      </c>
      <c r="F24" s="6" t="s">
        <v>194</v>
      </c>
      <c r="G24" s="7" t="s">
        <v>195</v>
      </c>
      <c r="H24" s="7" t="s">
        <v>118</v>
      </c>
      <c r="I24" s="7" t="s">
        <v>196</v>
      </c>
      <c r="J24" s="8">
        <v>46302</v>
      </c>
    </row>
    <row r="25" spans="1:10" ht="30" customHeight="1" x14ac:dyDescent="0.25">
      <c r="A25" s="6" t="s">
        <v>197</v>
      </c>
      <c r="B25" s="6" t="s">
        <v>183</v>
      </c>
      <c r="C25" s="6" t="s">
        <v>198</v>
      </c>
      <c r="D25" s="6" t="s">
        <v>199</v>
      </c>
      <c r="E25" s="6" t="s">
        <v>200</v>
      </c>
      <c r="F25" s="6" t="s">
        <v>201</v>
      </c>
      <c r="G25" s="7" t="s">
        <v>202</v>
      </c>
      <c r="H25" s="7" t="s">
        <v>118</v>
      </c>
      <c r="I25" s="7" t="s">
        <v>196</v>
      </c>
      <c r="J25" s="8">
        <v>46302</v>
      </c>
    </row>
    <row r="26" spans="1:10" ht="57.75" customHeight="1" x14ac:dyDescent="0.25">
      <c r="A26" s="6" t="s">
        <v>203</v>
      </c>
      <c r="B26" s="6" t="s">
        <v>183</v>
      </c>
      <c r="C26" s="6" t="s">
        <v>204</v>
      </c>
      <c r="D26" s="6" t="s">
        <v>205</v>
      </c>
      <c r="E26" s="6" t="s">
        <v>206</v>
      </c>
      <c r="F26" s="6" t="s">
        <v>207</v>
      </c>
      <c r="G26" s="7" t="s">
        <v>208</v>
      </c>
      <c r="H26" s="7" t="s">
        <v>118</v>
      </c>
      <c r="I26" s="7" t="s">
        <v>196</v>
      </c>
      <c r="J26" s="8">
        <v>46302</v>
      </c>
    </row>
  </sheetData>
  <autoFilter ref="A1:J26" xr:uid="{00000000-0009-0000-0000-000001000000}"/>
  <conditionalFormatting sqref="H2:H26">
    <cfRule type="expression" dxfId="2" priority="1">
      <formula>$H2="OK"</formula>
    </cfRule>
    <cfRule type="expression" dxfId="1" priority="2">
      <formula>$H2="Divergente"</formula>
    </cfRule>
    <cfRule type="expression" dxfId="0" priority="3">
      <formula>$H2="Não executado"</formula>
    </cfRule>
  </conditionalFormatting>
  <dataValidations count="1">
    <dataValidation type="list" allowBlank="1" errorTitle="Status inválido" error="Escolha OK, Divergente ou Não executado." sqref="H2:H26" xr:uid="{00000000-0002-0000-0100-000000000000}">
      <formula1>"OK,Divergente,Não executado"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3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7" width="15" customWidth="1"/>
  </cols>
  <sheetData>
    <row r="2" spans="2:7" ht="16.5" customHeight="1" x14ac:dyDescent="0.25">
      <c r="B2" s="9" t="s">
        <v>209</v>
      </c>
    </row>
    <row r="4" spans="2:7" x14ac:dyDescent="0.25">
      <c r="B4" s="10" t="s">
        <v>27</v>
      </c>
      <c r="C4" s="10" t="s">
        <v>210</v>
      </c>
      <c r="D4" s="10" t="s">
        <v>19</v>
      </c>
      <c r="E4" s="10" t="s">
        <v>211</v>
      </c>
      <c r="F4" s="10" t="s">
        <v>212</v>
      </c>
      <c r="G4" s="10" t="s">
        <v>213</v>
      </c>
    </row>
    <row r="5" spans="2:7" x14ac:dyDescent="0.25">
      <c r="B5" s="11" t="s">
        <v>33</v>
      </c>
      <c r="C5" s="12">
        <f>COUNTIF(Checklist!$B$2:$B$26,B5)</f>
        <v>7</v>
      </c>
      <c r="D5" s="12">
        <f>COUNTIFS(Checklist!$B$2:$B$26,B5,Checklist!$H$2:$H$26,"OK")</f>
        <v>7</v>
      </c>
      <c r="E5" s="12">
        <f>COUNTIFS(Checklist!$B$2:$B$26,B5,Checklist!$H$2:$H$26,"Divergente")</f>
        <v>0</v>
      </c>
      <c r="F5" s="12">
        <f>COUNTIFS(Checklist!$B$2:$B$26,B5,Checklist!$H$2:$H$26,"Não executado")</f>
        <v>0</v>
      </c>
      <c r="G5" s="12">
        <f t="shared" ref="G5:G10" si="0">C5-D5-E5-F5</f>
        <v>0</v>
      </c>
    </row>
    <row r="6" spans="2:7" x14ac:dyDescent="0.25">
      <c r="B6" s="11" t="s">
        <v>75</v>
      </c>
      <c r="C6" s="12">
        <f>COUNTIF(Checklist!$B$2:$B$26,B6)</f>
        <v>2</v>
      </c>
      <c r="D6" s="12">
        <f>COUNTIFS(Checklist!$B$2:$B$26,B6,Checklist!$H$2:$H$26,"OK")</f>
        <v>2</v>
      </c>
      <c r="E6" s="12">
        <f>COUNTIFS(Checklist!$B$2:$B$26,B6,Checklist!$H$2:$H$26,"Divergente")</f>
        <v>0</v>
      </c>
      <c r="F6" s="12">
        <f>COUNTIFS(Checklist!$B$2:$B$26,B6,Checklist!$H$2:$H$26,"Não executado")</f>
        <v>0</v>
      </c>
      <c r="G6" s="12">
        <f t="shared" si="0"/>
        <v>0</v>
      </c>
    </row>
    <row r="7" spans="2:7" x14ac:dyDescent="0.25">
      <c r="B7" s="11" t="s">
        <v>83</v>
      </c>
      <c r="C7" s="12">
        <f>COUNTIF(Checklist!$B$2:$B$26,B7)</f>
        <v>1</v>
      </c>
      <c r="D7" s="12">
        <f>COUNTIFS(Checklist!$B$2:$B$26,B7,Checklist!$H$2:$H$26,"OK")</f>
        <v>1</v>
      </c>
      <c r="E7" s="12">
        <f>COUNTIFS(Checklist!$B$2:$B$26,B7,Checklist!$H$2:$H$26,"Divergente")</f>
        <v>0</v>
      </c>
      <c r="F7" s="12">
        <f>COUNTIFS(Checklist!$B$2:$B$26,B7,Checklist!$H$2:$H$26,"Não executado")</f>
        <v>0</v>
      </c>
      <c r="G7" s="12">
        <f t="shared" si="0"/>
        <v>0</v>
      </c>
    </row>
    <row r="8" spans="2:7" x14ac:dyDescent="0.25">
      <c r="B8" s="11" t="s">
        <v>105</v>
      </c>
      <c r="C8" s="12">
        <f>COUNTIF(Checklist!$B$2:$B$26,B8)</f>
        <v>9</v>
      </c>
      <c r="D8" s="12">
        <f>COUNTIFS(Checklist!$B$2:$B$26,B8,Checklist!$H$2:$H$26,"OK")</f>
        <v>9</v>
      </c>
      <c r="E8" s="12">
        <f>COUNTIFS(Checklist!$B$2:$B$26,B8,Checklist!$H$2:$H$26,"Divergente")</f>
        <v>0</v>
      </c>
      <c r="F8" s="12">
        <f>COUNTIFS(Checklist!$B$2:$B$26,B8,Checklist!$H$2:$H$26,"Não executado")</f>
        <v>0</v>
      </c>
      <c r="G8" s="12">
        <f t="shared" si="0"/>
        <v>0</v>
      </c>
    </row>
    <row r="9" spans="2:7" x14ac:dyDescent="0.25">
      <c r="B9" s="11" t="s">
        <v>168</v>
      </c>
      <c r="C9" s="12">
        <f>COUNTIF(Checklist!$B$2:$B$26,B9)</f>
        <v>2</v>
      </c>
      <c r="D9" s="12">
        <f>COUNTIFS(Checklist!$B$2:$B$26,B9,Checklist!$H$2:$H$26,"OK")</f>
        <v>2</v>
      </c>
      <c r="E9" s="12">
        <f>COUNTIFS(Checklist!$B$2:$B$26,B9,Checklist!$H$2:$H$26,"Divergente")</f>
        <v>0</v>
      </c>
      <c r="F9" s="12">
        <f>COUNTIFS(Checklist!$B$2:$B$26,B9,Checklist!$H$2:$H$26,"Não executado")</f>
        <v>0</v>
      </c>
      <c r="G9" s="12">
        <f t="shared" si="0"/>
        <v>0</v>
      </c>
    </row>
    <row r="10" spans="2:7" x14ac:dyDescent="0.25">
      <c r="B10" s="11" t="s">
        <v>183</v>
      </c>
      <c r="C10" s="12">
        <f>COUNTIF(Checklist!$B$2:$B$26,B10)</f>
        <v>4</v>
      </c>
      <c r="D10" s="12">
        <f>COUNTIFS(Checklist!$B$2:$B$26,B10,Checklist!$H$2:$H$26,"OK")</f>
        <v>4</v>
      </c>
      <c r="E10" s="12">
        <f>COUNTIFS(Checklist!$B$2:$B$26,B10,Checklist!$H$2:$H$26,"Divergente")</f>
        <v>0</v>
      </c>
      <c r="F10" s="12">
        <f>COUNTIFS(Checklist!$B$2:$B$26,B10,Checklist!$H$2:$H$26,"Não executado")</f>
        <v>0</v>
      </c>
      <c r="G10" s="12">
        <f t="shared" si="0"/>
        <v>0</v>
      </c>
    </row>
    <row r="11" spans="2:7" x14ac:dyDescent="0.25">
      <c r="B11" s="13" t="s">
        <v>214</v>
      </c>
      <c r="C11" s="14">
        <f>SUM(C5:C10)</f>
        <v>25</v>
      </c>
      <c r="D11" s="14">
        <f>SUM(D5:D10)</f>
        <v>25</v>
      </c>
      <c r="E11" s="14">
        <f>SUM(E5:E10)</f>
        <v>0</v>
      </c>
      <c r="F11" s="14">
        <f>SUM(F5:F10)</f>
        <v>0</v>
      </c>
      <c r="G11" s="14">
        <f>SUM(G5:G10)</f>
        <v>0</v>
      </c>
    </row>
    <row r="13" spans="2:7" x14ac:dyDescent="0.25">
      <c r="B13" s="15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Checklist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Colombo Ferreira</cp:lastModifiedBy>
  <dcterms:created xsi:type="dcterms:W3CDTF">2026-10-07T15:38:51Z</dcterms:created>
  <dcterms:modified xsi:type="dcterms:W3CDTF">2026-10-08T11:52:36Z</dcterms:modified>
</cp:coreProperties>
</file>